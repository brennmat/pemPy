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 codeName="ThisWorkbook"/>
  <xr:revisionPtr revIDLastSave="18" documentId="11_E5EB76AECA5E3D1E78E149AEBFBFEA9818FC491F" xr6:coauthVersionLast="47" xr6:coauthVersionMax="47" xr10:uidLastSave="{47A0FDEA-5383-D144-91EA-B73EEA379467}"/>
  <bookViews>
    <workbookView xWindow="0" yWindow="660" windowWidth="29400" windowHeight="18460" xr2:uid="{00000000-000D-0000-FFFF-FFFF00000000}"/>
  </bookViews>
  <sheets>
    <sheet name="Inventory List" sheetId="1" r:id="rId1"/>
  </sheets>
  <definedNames>
    <definedName name="_xlnm._FilterDatabase" localSheetId="0" hidden="1">'Inventory List'!#REF!</definedName>
    <definedName name="_xlnm.Print_Titles" localSheetId="0">'Inventory List'!$1:$1</definedName>
    <definedName name="valHighlight">IFERROR(IF('Inventory List'!#REF!="Yes",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7" i="1"/>
  <c r="H28" i="1"/>
  <c r="H29" i="1"/>
  <c r="H30" i="1"/>
  <c r="H31" i="1"/>
  <c r="H33" i="1"/>
  <c r="H34" i="1"/>
  <c r="H35" i="1"/>
  <c r="H37" i="1"/>
  <c r="H38" i="1"/>
  <c r="H39" i="1"/>
  <c r="H41" i="1"/>
  <c r="H42" i="1"/>
  <c r="H43" i="1"/>
  <c r="H44" i="1"/>
  <c r="H45" i="1"/>
  <c r="H46" i="1"/>
  <c r="H3" i="1"/>
  <c r="H49" i="1" l="1"/>
  <c r="H48" i="1" s="1"/>
  <c r="H47" i="1" s="1"/>
</calcChain>
</file>

<file path=xl/sharedStrings.xml><?xml version="1.0" encoding="utf-8"?>
<sst xmlns="http://schemas.openxmlformats.org/spreadsheetml/2006/main" count="153" uniqueCount="101">
  <si>
    <t>Part</t>
  </si>
  <si>
    <t>Amount</t>
  </si>
  <si>
    <t>Description / Type</t>
  </si>
  <si>
    <t>Manufacturer</t>
  </si>
  <si>
    <t>Supplier</t>
  </si>
  <si>
    <t xml:space="preserve">Price / piece </t>
  </si>
  <si>
    <t>Total</t>
  </si>
  <si>
    <t>Reservoir</t>
  </si>
  <si>
    <t>Columns</t>
  </si>
  <si>
    <t>Spectra/Chrom® Organic Chromatography Columns, Replacement Column and Collars only, 5.0 cm ID X 60 cm
long</t>
  </si>
  <si>
    <t>Spectrum Chromatography</t>
  </si>
  <si>
    <t>Spectrum Chromatography, Houston, TX 77060, USA</t>
  </si>
  <si>
    <t>Sealing O rings</t>
  </si>
  <si>
    <t>O-Ring FPM 75, 78 * 6 mm, mid hard, 27482</t>
  </si>
  <si>
    <t>arcus Dichtelemente</t>
  </si>
  <si>
    <t>PEM Cell</t>
  </si>
  <si>
    <t>Power supply</t>
  </si>
  <si>
    <t>Voltcraft PPS-11810</t>
  </si>
  <si>
    <t>Voltcraft</t>
  </si>
  <si>
    <t>Conrad</t>
  </si>
  <si>
    <t>Anodes</t>
  </si>
  <si>
    <t>2.5-mm thick, 50 x 50 mm sintered DSE anode for O2 Evolution</t>
  </si>
  <si>
    <t>DeNora Permelec</t>
  </si>
  <si>
    <t>Cathodes</t>
  </si>
  <si>
    <t>2.5-mm thick, 50 x 50 mm sintered DSE cathode for O2/H2 Evolution</t>
  </si>
  <si>
    <t>IAEA / Eawag workshop</t>
  </si>
  <si>
    <t>Nafion membrane</t>
  </si>
  <si>
    <t>Nafion 117 sheet, pieces manually cut to 5 x 5 cm per cell (0.18 mm thickness, &gt;0.90 meq/g exchange capacity</t>
  </si>
  <si>
    <t>Dupont</t>
  </si>
  <si>
    <t>https://www.alfa.com</t>
  </si>
  <si>
    <t>Gold mesh</t>
  </si>
  <si>
    <t>5 x 5 cm piece per cell, 99 % plain weave, gold mesh (0.88 grams), 0.25 mm aperture, 0.06 mm wire diameter, 65 % open screen area</t>
  </si>
  <si>
    <t>Variable Manufacturers</t>
  </si>
  <si>
    <t>Goodfellow</t>
  </si>
  <si>
    <t xml:space="preserve">Stainless steel mesh </t>
  </si>
  <si>
    <t>5 x 5 cm piece per cell, SS316, Mesh #84, 0.239 mm aperture, 0.063 mm wire diameter, 65 % open screen area</t>
  </si>
  <si>
    <t>The Mesh Company, UK</t>
  </si>
  <si>
    <t>PTFE Cell (Base)</t>
  </si>
  <si>
    <t>PTFE, CNC milled</t>
  </si>
  <si>
    <t>custom made</t>
  </si>
  <si>
    <t>Thomas Schiefer</t>
  </si>
  <si>
    <t>PTFE Cell (Top)</t>
  </si>
  <si>
    <t>PTFE channel block</t>
  </si>
  <si>
    <t>PTFE pressure block</t>
  </si>
  <si>
    <t>Current controller</t>
  </si>
  <si>
    <t>Rasberry Pi</t>
  </si>
  <si>
    <t>Software In House</t>
  </si>
  <si>
    <t>Sample outlet valve</t>
  </si>
  <si>
    <t>Teflon ball valve, TEFLON VALVE, .080" THRU, 1/4" MFIT CONN</t>
  </si>
  <si>
    <t>Repligen</t>
  </si>
  <si>
    <t>Sealant “glue”</t>
  </si>
  <si>
    <t>Loctite SI 5970</t>
  </si>
  <si>
    <t>Condensor Top</t>
  </si>
  <si>
    <t>Adjustable PSU</t>
  </si>
  <si>
    <t>Conrad.ch</t>
  </si>
  <si>
    <t>Alum Top</t>
  </si>
  <si>
    <t>aluminium anodized</t>
  </si>
  <si>
    <t>Peltier elements</t>
  </si>
  <si>
    <t>plug and cables for cell</t>
  </si>
  <si>
    <t>ABS plastic top assembly for Column (two halves)</t>
  </si>
  <si>
    <t>3D printed</t>
  </si>
  <si>
    <t>Screws + nuts</t>
  </si>
  <si>
    <t>Insulation</t>
  </si>
  <si>
    <t>1/8" Swagelok connector</t>
  </si>
  <si>
    <t>Swagelok</t>
  </si>
  <si>
    <t>Rack</t>
  </si>
  <si>
    <t>Column hanger (upper)</t>
  </si>
  <si>
    <t>milled out of a 10mm board</t>
  </si>
  <si>
    <t>Eawag workshop</t>
  </si>
  <si>
    <t>tube supplier (lower)</t>
  </si>
  <si>
    <t>aluminium frame</t>
  </si>
  <si>
    <t>Extraction Loop</t>
  </si>
  <si>
    <t>Heating element</t>
  </si>
  <si>
    <t>Erlenmeyer Flask</t>
  </si>
  <si>
    <t>Stainless Tubing</t>
  </si>
  <si>
    <t>Capture Flask (Cold Trap)</t>
  </si>
  <si>
    <t>Pump</t>
  </si>
  <si>
    <t>Glass Tubing</t>
  </si>
  <si>
    <t>Total+VAT</t>
  </si>
  <si>
    <t>Gold wire</t>
  </si>
  <si>
    <t>0.75mm thick</t>
  </si>
  <si>
    <t>VAT (8.1%)</t>
  </si>
  <si>
    <t>Cooling element to facilitate condensation</t>
  </si>
  <si>
    <t>Connectors</t>
  </si>
  <si>
    <t>Important for efficiency</t>
  </si>
  <si>
    <t>Cut and connectors using standard framing</t>
  </si>
  <si>
    <t>Standard Laboratory Apparatus</t>
  </si>
  <si>
    <t>To prevent water loss and/or fractionation</t>
  </si>
  <si>
    <t>To evacuate the cells completely after enrichment</t>
  </si>
  <si>
    <t>Fischer Scientific CH</t>
  </si>
  <si>
    <t>PharmaGlas</t>
  </si>
  <si>
    <t>HuberLab</t>
  </si>
  <si>
    <t>KNF Pumps</t>
  </si>
  <si>
    <t>Export Fee for Denora</t>
  </si>
  <si>
    <t>Aluminium press ring</t>
  </si>
  <si>
    <t>Cell ring</t>
  </si>
  <si>
    <t>Tube Ring</t>
  </si>
  <si>
    <t>ABS Top Mount</t>
  </si>
  <si>
    <t>Budgeted (CHF)</t>
  </si>
  <si>
    <t>Shipping Costs</t>
  </si>
  <si>
    <t>Power Supply import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</si>
</sst>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9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sz val="8"/>
      <color theme="1"/>
      <name val="Franklin Gothic Book"/>
      <family val="2"/>
      <scheme val="minor"/>
    </font>
    <font>
      <sz val="10"/>
      <color rgb="FF000000"/>
      <name val="Franklin Gothic Book"/>
      <family val="2"/>
    </font>
    <font>
      <sz val="10"/>
      <color theme="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u/>
      <sz val="11"/>
      <color theme="1"/>
      <name val="Franklin Gothic Book"/>
      <family val="2"/>
      <scheme val="minor"/>
    </font>
    <font>
      <sz val="16"/>
      <color theme="1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2" fontId="1" fillId="0" borderId="0" xfId="0" applyNumberFormat="1" applyFont="1" applyAlignment="1">
      <alignment horizontal="right" vertical="center" indent="1"/>
    </xf>
    <xf numFmtId="164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 indent="1"/>
    </xf>
    <xf numFmtId="0" fontId="2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 indent="1"/>
    </xf>
    <xf numFmtId="0" fontId="1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 indent="1"/>
    </xf>
    <xf numFmtId="2" fontId="1" fillId="0" borderId="2" xfId="0" applyNumberFormat="1" applyFont="1" applyBorder="1" applyAlignment="1">
      <alignment horizontal="right" vertical="center" indent="1"/>
    </xf>
    <xf numFmtId="49" fontId="3" fillId="0" borderId="0" xfId="0" applyNumberFormat="1" applyFont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justify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2" fontId="2" fillId="5" borderId="3" xfId="0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left" vertical="center" indent="1"/>
    </xf>
    <xf numFmtId="164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right" vertical="center" indent="1"/>
    </xf>
    <xf numFmtId="2" fontId="5" fillId="4" borderId="0" xfId="0" applyNumberFormat="1" applyFont="1" applyFill="1" applyAlignment="1">
      <alignment horizontal="right" vertical="center" indent="1"/>
    </xf>
    <xf numFmtId="2" fontId="1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 vertical="top"/>
    </xf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 wrapText="1" indent="1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right" vertical="center" indent="1"/>
    </xf>
    <xf numFmtId="2" fontId="1" fillId="0" borderId="0" xfId="0" applyNumberFormat="1" applyFont="1" applyFill="1" applyAlignment="1">
      <alignment horizontal="right" vertical="center" indent="1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 indent="1"/>
    </xf>
    <xf numFmtId="16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right" vertical="center" indent="1"/>
    </xf>
    <xf numFmtId="2" fontId="5" fillId="0" borderId="0" xfId="0" applyNumberFormat="1" applyFont="1" applyFill="1" applyAlignment="1">
      <alignment horizontal="right" vertical="center" indent="1"/>
    </xf>
    <xf numFmtId="164" fontId="7" fillId="0" borderId="0" xfId="1" applyNumberFormat="1" applyFont="1" applyFill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24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2" formatCode="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2" formatCode="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2" formatCode="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2" formatCode="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23"/>
      <tableStyleElement type="headerRow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46</xdr:row>
      <xdr:rowOff>38099</xdr:rowOff>
    </xdr:from>
    <xdr:to>
      <xdr:col>5</xdr:col>
      <xdr:colOff>2476500</xdr:colOff>
      <xdr:row>48</xdr:row>
      <xdr:rowOff>257174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9075" y="14554199"/>
          <a:ext cx="11591925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 Construction of all devices is typical for a laboratory run by physicists, where method and analytical tools are continuously developed. W+T’s in-kind contribution to build the cells in-house will lead to considerable cost reduction and the build-up of expertise on the construction and operation of such advanced electrochemical enrichment cells.</a:t>
          </a:r>
        </a:p>
        <a:p>
          <a:pPr algn="ctr"/>
          <a:endParaRPr lang="en-GB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1:H49" totalsRowShown="0" headerRowDxfId="20" dataDxfId="19">
  <autoFilter ref="B1:H49" xr:uid="{00000000-0009-0000-0100-000001000000}"/>
  <tableColumns count="7">
    <tableColumn id="1" xr3:uid="{00000000-0010-0000-0000-000001000000}" name="Part" dataDxfId="18" totalsRowDxfId="17"/>
    <tableColumn id="2" xr3:uid="{00000000-0010-0000-0000-000002000000}" name="Amount" dataDxfId="16" totalsRowDxfId="15"/>
    <tableColumn id="4" xr3:uid="{00000000-0010-0000-0000-000004000000}" name="Description / Type" dataDxfId="14" totalsRowDxfId="13"/>
    <tableColumn id="5" xr3:uid="{00000000-0010-0000-0000-000005000000}" name="Manufacturer" dataDxfId="12" totalsRowDxfId="11"/>
    <tableColumn id="7" xr3:uid="{00000000-0010-0000-0000-000007000000}" name="Supplier" dataDxfId="10" totalsRowDxfId="9"/>
    <tableColumn id="9" xr3:uid="{00000000-0010-0000-0000-000009000000}" name="Price / piece " dataDxfId="8" totalsRowDxfId="7"/>
    <tableColumn id="3" xr3:uid="{00000000-0010-0000-0000-000003000000}" name="Budgeted (CHF)" dataDxfId="6" totalsRowDxfId="5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fa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9"/>
  <sheetViews>
    <sheetView showGridLines="0" tabSelected="1" topLeftCell="B9" zoomScale="75" zoomScaleNormal="85" workbookViewId="0">
      <selection activeCell="G15" sqref="G15"/>
    </sheetView>
  </sheetViews>
  <sheetFormatPr baseColWidth="10" defaultColWidth="8.83203125" defaultRowHeight="24" customHeight="1" x14ac:dyDescent="0.15"/>
  <cols>
    <col min="1" max="1" width="33.33203125" style="2" hidden="1" customWidth="1"/>
    <col min="2" max="2" width="44" style="1" customWidth="1"/>
    <col min="3" max="3" width="12.1640625" style="1" customWidth="1"/>
    <col min="4" max="4" width="18" style="3" customWidth="1"/>
    <col min="5" max="5" width="17" style="5" customWidth="1"/>
    <col min="6" max="6" width="15.83203125" style="5" customWidth="1"/>
    <col min="7" max="7" width="13.6640625" style="5" bestFit="1" customWidth="1"/>
    <col min="8" max="8" width="13.6640625" style="5" customWidth="1"/>
    <col min="9" max="9" width="1.83203125" style="2" customWidth="1"/>
    <col min="10" max="16384" width="8.83203125" style="2"/>
  </cols>
  <sheetData>
    <row r="1" spans="1:34" s="1" customFormat="1" ht="50" customHeight="1" x14ac:dyDescent="0.2">
      <c r="B1" s="30" t="s">
        <v>0</v>
      </c>
      <c r="C1" s="31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98</v>
      </c>
      <c r="L1" s="29"/>
    </row>
    <row r="2" spans="1:34" ht="24" customHeight="1" x14ac:dyDescent="0.15">
      <c r="B2" s="9" t="s">
        <v>7</v>
      </c>
      <c r="E2" s="7"/>
      <c r="F2" s="4"/>
      <c r="G2" s="6"/>
      <c r="H2" s="6"/>
      <c r="L2" s="29"/>
    </row>
    <row r="3" spans="1:34" s="20" customFormat="1" ht="32" customHeight="1" x14ac:dyDescent="0.15">
      <c r="A3" s="2"/>
      <c r="B3" s="32" t="s">
        <v>8</v>
      </c>
      <c r="C3" s="32">
        <v>12</v>
      </c>
      <c r="D3" s="33" t="s">
        <v>9</v>
      </c>
      <c r="E3" s="34" t="s">
        <v>10</v>
      </c>
      <c r="F3" s="35" t="s">
        <v>11</v>
      </c>
      <c r="G3" s="36">
        <v>1350</v>
      </c>
      <c r="H3" s="36">
        <f>Inventory_List_Table[[#This Row],[Amount]]*G3</f>
        <v>16200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20" customFormat="1" ht="24" customHeight="1" x14ac:dyDescent="0.15">
      <c r="A4" s="2"/>
      <c r="B4" s="32" t="s">
        <v>12</v>
      </c>
      <c r="C4" s="32">
        <v>24</v>
      </c>
      <c r="D4" s="33" t="s">
        <v>13</v>
      </c>
      <c r="E4" s="34" t="s">
        <v>14</v>
      </c>
      <c r="F4" s="35" t="s">
        <v>14</v>
      </c>
      <c r="G4" s="36">
        <v>95</v>
      </c>
      <c r="H4" s="36">
        <f>Inventory_List_Table[[#This Row],[Amount]]*G4</f>
        <v>2280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s="20" customFormat="1" ht="24" hidden="1" customHeight="1" x14ac:dyDescent="0.15">
      <c r="A5" s="2"/>
      <c r="B5" s="23" t="s">
        <v>99</v>
      </c>
      <c r="C5" s="23"/>
      <c r="D5" s="24"/>
      <c r="E5" s="25"/>
      <c r="F5" s="26"/>
      <c r="G5" s="27"/>
      <c r="H5" s="36">
        <f>Inventory_List_Table[[#This Row],[Amount]]*G5</f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4" customHeight="1" x14ac:dyDescent="0.15">
      <c r="B6" s="9" t="s">
        <v>15</v>
      </c>
      <c r="D6" s="16"/>
      <c r="E6" s="10"/>
      <c r="F6" s="11"/>
      <c r="G6" s="6"/>
      <c r="H6" s="36"/>
    </row>
    <row r="7" spans="1:34" s="21" customFormat="1" ht="24" customHeight="1" x14ac:dyDescent="0.15">
      <c r="A7" s="2"/>
      <c r="B7" s="32" t="s">
        <v>16</v>
      </c>
      <c r="C7" s="32">
        <v>12</v>
      </c>
      <c r="D7" s="33" t="s">
        <v>17</v>
      </c>
      <c r="E7" s="34" t="s">
        <v>18</v>
      </c>
      <c r="F7" s="35" t="s">
        <v>19</v>
      </c>
      <c r="G7" s="36">
        <v>214</v>
      </c>
      <c r="H7" s="36">
        <f>Inventory_List_Table[[#This Row],[Amount]]*G7</f>
        <v>2568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s="21" customFormat="1" ht="24" hidden="1" customHeight="1" x14ac:dyDescent="0.15">
      <c r="A8" s="2"/>
      <c r="B8" s="37" t="s">
        <v>100</v>
      </c>
      <c r="C8" s="37"/>
      <c r="D8" s="38"/>
      <c r="E8" s="39"/>
      <c r="F8" s="40"/>
      <c r="G8" s="41"/>
      <c r="H8" s="36">
        <f>Inventory_List_Table[[#This Row],[Amount]]*G8</f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24" customHeight="1" x14ac:dyDescent="0.15">
      <c r="B9" s="32" t="s">
        <v>20</v>
      </c>
      <c r="C9" s="32">
        <v>17</v>
      </c>
      <c r="D9" s="33" t="s">
        <v>21</v>
      </c>
      <c r="E9" s="34" t="s">
        <v>22</v>
      </c>
      <c r="F9" s="35" t="s">
        <v>22</v>
      </c>
      <c r="G9" s="36">
        <v>540</v>
      </c>
      <c r="H9" s="36">
        <f>Inventory_List_Table[[#This Row],[Amount]]*G9</f>
        <v>9180</v>
      </c>
    </row>
    <row r="10" spans="1:34" ht="24" customHeight="1" x14ac:dyDescent="0.15">
      <c r="B10" s="32" t="s">
        <v>23</v>
      </c>
      <c r="C10" s="32">
        <v>17</v>
      </c>
      <c r="D10" s="33" t="s">
        <v>24</v>
      </c>
      <c r="E10" s="34" t="s">
        <v>22</v>
      </c>
      <c r="F10" s="35" t="s">
        <v>25</v>
      </c>
      <c r="G10" s="36">
        <v>520</v>
      </c>
      <c r="H10" s="36">
        <f>Inventory_List_Table[[#This Row],[Amount]]*G10</f>
        <v>8840</v>
      </c>
    </row>
    <row r="11" spans="1:34" ht="24" customHeight="1" x14ac:dyDescent="0.15">
      <c r="B11" s="37" t="s">
        <v>93</v>
      </c>
      <c r="C11" s="37">
        <v>1</v>
      </c>
      <c r="D11" s="38"/>
      <c r="E11" s="34" t="s">
        <v>22</v>
      </c>
      <c r="F11" s="40" t="s">
        <v>22</v>
      </c>
      <c r="G11" s="41">
        <v>500</v>
      </c>
      <c r="H11" s="36">
        <f>Inventory_List_Table[[#This Row],[Amount]]*G11</f>
        <v>500</v>
      </c>
      <c r="J11" s="28"/>
    </row>
    <row r="12" spans="1:34" ht="25" customHeight="1" x14ac:dyDescent="0.15">
      <c r="B12" s="32" t="s">
        <v>26</v>
      </c>
      <c r="C12" s="32">
        <v>4</v>
      </c>
      <c r="D12" s="33" t="s">
        <v>27</v>
      </c>
      <c r="E12" s="34" t="s">
        <v>28</v>
      </c>
      <c r="F12" s="42" t="s">
        <v>29</v>
      </c>
      <c r="G12" s="36">
        <v>114</v>
      </c>
      <c r="H12" s="36">
        <f>Inventory_List_Table[[#This Row],[Amount]]*G12</f>
        <v>456</v>
      </c>
    </row>
    <row r="13" spans="1:34" ht="27" customHeight="1" x14ac:dyDescent="0.15">
      <c r="B13" s="32" t="s">
        <v>30</v>
      </c>
      <c r="C13" s="32">
        <v>16</v>
      </c>
      <c r="D13" s="33" t="s">
        <v>31</v>
      </c>
      <c r="E13" s="34" t="s">
        <v>32</v>
      </c>
      <c r="F13" s="35" t="s">
        <v>33</v>
      </c>
      <c r="G13" s="36">
        <v>1894</v>
      </c>
      <c r="H13" s="36">
        <f>Inventory_List_Table[[#This Row],[Amount]]*G13</f>
        <v>30304</v>
      </c>
    </row>
    <row r="14" spans="1:34" ht="24" customHeight="1" x14ac:dyDescent="0.15">
      <c r="B14" s="32" t="s">
        <v>79</v>
      </c>
      <c r="C14" s="32">
        <v>1</v>
      </c>
      <c r="D14" s="33" t="s">
        <v>80</v>
      </c>
      <c r="E14" s="34" t="s">
        <v>32</v>
      </c>
      <c r="F14" s="35" t="s">
        <v>33</v>
      </c>
      <c r="G14" s="36">
        <v>2080</v>
      </c>
      <c r="H14" s="36">
        <f>Inventory_List_Table[[#This Row],[Amount]]*G14</f>
        <v>2080</v>
      </c>
    </row>
    <row r="15" spans="1:34" ht="26" customHeight="1" x14ac:dyDescent="0.15">
      <c r="B15" s="32" t="s">
        <v>34</v>
      </c>
      <c r="C15" s="32">
        <v>4</v>
      </c>
      <c r="D15" s="33" t="s">
        <v>35</v>
      </c>
      <c r="E15" s="34" t="s">
        <v>32</v>
      </c>
      <c r="F15" s="35" t="s">
        <v>36</v>
      </c>
      <c r="G15" s="36">
        <v>23</v>
      </c>
      <c r="H15" s="36">
        <f>Inventory_List_Table[[#This Row],[Amount]]*G15</f>
        <v>92</v>
      </c>
    </row>
    <row r="16" spans="1:34" ht="24" customHeight="1" x14ac:dyDescent="0.15">
      <c r="B16" s="32" t="s">
        <v>37</v>
      </c>
      <c r="C16" s="32">
        <v>12</v>
      </c>
      <c r="D16" s="33" t="s">
        <v>38</v>
      </c>
      <c r="E16" s="34" t="s">
        <v>39</v>
      </c>
      <c r="F16" s="35" t="s">
        <v>40</v>
      </c>
      <c r="G16" s="36">
        <v>264.76404954144738</v>
      </c>
      <c r="H16" s="36">
        <f>Inventory_List_Table[[#This Row],[Amount]]*G16</f>
        <v>3177.1685944973688</v>
      </c>
    </row>
    <row r="17" spans="2:12" ht="24" customHeight="1" x14ac:dyDescent="0.15">
      <c r="B17" s="32" t="s">
        <v>41</v>
      </c>
      <c r="C17" s="32">
        <v>12</v>
      </c>
      <c r="D17" s="33" t="s">
        <v>38</v>
      </c>
      <c r="E17" s="34" t="s">
        <v>39</v>
      </c>
      <c r="F17" s="35" t="s">
        <v>40</v>
      </c>
      <c r="G17" s="36">
        <v>248.71774350863242</v>
      </c>
      <c r="H17" s="36">
        <f>Inventory_List_Table[[#This Row],[Amount]]*G17</f>
        <v>2984.612922103589</v>
      </c>
    </row>
    <row r="18" spans="2:12" ht="24" customHeight="1" x14ac:dyDescent="0.15">
      <c r="B18" s="32" t="s">
        <v>42</v>
      </c>
      <c r="C18" s="32">
        <v>12</v>
      </c>
      <c r="D18" s="33" t="s">
        <v>38</v>
      </c>
      <c r="E18" s="34" t="s">
        <v>39</v>
      </c>
      <c r="F18" s="35" t="s">
        <v>40</v>
      </c>
      <c r="G18" s="36">
        <v>72.208377147667477</v>
      </c>
      <c r="H18" s="36">
        <f>Inventory_List_Table[[#This Row],[Amount]]*G18</f>
        <v>866.50052577200972</v>
      </c>
    </row>
    <row r="19" spans="2:12" ht="24" customHeight="1" x14ac:dyDescent="0.15">
      <c r="B19" s="32" t="s">
        <v>43</v>
      </c>
      <c r="C19" s="32">
        <v>12</v>
      </c>
      <c r="D19" s="33" t="s">
        <v>38</v>
      </c>
      <c r="E19" s="34" t="s">
        <v>39</v>
      </c>
      <c r="F19" s="35" t="s">
        <v>40</v>
      </c>
      <c r="G19" s="36">
        <v>54.557440511570981</v>
      </c>
      <c r="H19" s="36">
        <f>Inventory_List_Table[[#This Row],[Amount]]*G19</f>
        <v>654.6892861388518</v>
      </c>
    </row>
    <row r="20" spans="2:12" ht="24" customHeight="1" x14ac:dyDescent="0.15">
      <c r="B20" s="37" t="s">
        <v>94</v>
      </c>
      <c r="C20" s="37">
        <v>12</v>
      </c>
      <c r="D20" s="38"/>
      <c r="E20" s="39"/>
      <c r="F20" s="40"/>
      <c r="G20" s="41">
        <v>72</v>
      </c>
      <c r="H20" s="36">
        <f>Inventory_List_Table[[#This Row],[Amount]]*G20</f>
        <v>864</v>
      </c>
    </row>
    <row r="21" spans="2:12" ht="24" hidden="1" customHeight="1" x14ac:dyDescent="0.15">
      <c r="B21" s="37" t="s">
        <v>95</v>
      </c>
      <c r="C21" s="37">
        <v>12</v>
      </c>
      <c r="D21" s="38"/>
      <c r="E21" s="39"/>
      <c r="F21" s="40"/>
      <c r="G21" s="41">
        <v>92</v>
      </c>
      <c r="H21" s="36">
        <f>Inventory_List_Table[[#This Row],[Amount]]*G21</f>
        <v>1104</v>
      </c>
    </row>
    <row r="22" spans="2:12" ht="24" hidden="1" customHeight="1" x14ac:dyDescent="0.15">
      <c r="B22" s="37" t="s">
        <v>96</v>
      </c>
      <c r="C22" s="37">
        <v>24</v>
      </c>
      <c r="D22" s="38"/>
      <c r="E22" s="39"/>
      <c r="F22" s="40"/>
      <c r="G22" s="41">
        <v>87</v>
      </c>
      <c r="H22" s="36">
        <f>Inventory_List_Table[[#This Row],[Amount]]*G22</f>
        <v>2088</v>
      </c>
      <c r="J22" s="28"/>
    </row>
    <row r="23" spans="2:12" ht="24" hidden="1" customHeight="1" x14ac:dyDescent="0.15">
      <c r="B23" s="32" t="s">
        <v>44</v>
      </c>
      <c r="C23" s="32">
        <v>12</v>
      </c>
      <c r="D23" s="33" t="s">
        <v>45</v>
      </c>
      <c r="E23" s="34" t="s">
        <v>46</v>
      </c>
      <c r="F23" s="35"/>
      <c r="G23" s="36">
        <v>83.05</v>
      </c>
      <c r="H23" s="36">
        <f>Inventory_List_Table[[#This Row],[Amount]]*G23</f>
        <v>996.59999999999991</v>
      </c>
    </row>
    <row r="24" spans="2:12" ht="24" customHeight="1" x14ac:dyDescent="0.15">
      <c r="B24" s="32" t="s">
        <v>47</v>
      </c>
      <c r="C24" s="32">
        <v>12</v>
      </c>
      <c r="D24" s="33" t="s">
        <v>48</v>
      </c>
      <c r="E24" s="34" t="s">
        <v>49</v>
      </c>
      <c r="F24" s="35" t="s">
        <v>49</v>
      </c>
      <c r="G24" s="36">
        <v>215</v>
      </c>
      <c r="H24" s="36">
        <f>Inventory_List_Table[[#This Row],[Amount]]*G24</f>
        <v>2580</v>
      </c>
    </row>
    <row r="25" spans="2:12" ht="24" customHeight="1" x14ac:dyDescent="0.15">
      <c r="B25" s="32" t="s">
        <v>50</v>
      </c>
      <c r="C25" s="32">
        <v>3</v>
      </c>
      <c r="D25" s="33" t="s">
        <v>51</v>
      </c>
      <c r="E25" s="34"/>
      <c r="F25" s="35"/>
      <c r="G25" s="36">
        <v>23</v>
      </c>
      <c r="H25" s="36">
        <f>Inventory_List_Table[[#This Row],[Amount]]*G25</f>
        <v>69</v>
      </c>
    </row>
    <row r="26" spans="2:12" ht="24" customHeight="1" x14ac:dyDescent="0.15">
      <c r="B26" s="9" t="s">
        <v>52</v>
      </c>
      <c r="D26" s="16"/>
      <c r="E26" s="10"/>
      <c r="F26" s="11"/>
      <c r="G26" s="6"/>
      <c r="H26" s="36"/>
    </row>
    <row r="27" spans="2:12" ht="24" customHeight="1" x14ac:dyDescent="0.15">
      <c r="B27" s="32" t="s">
        <v>16</v>
      </c>
      <c r="C27" s="32">
        <v>12</v>
      </c>
      <c r="D27" s="33" t="s">
        <v>53</v>
      </c>
      <c r="E27" s="34" t="s">
        <v>18</v>
      </c>
      <c r="F27" s="35" t="s">
        <v>54</v>
      </c>
      <c r="G27" s="36">
        <v>245.95</v>
      </c>
      <c r="H27" s="36">
        <f>Inventory_List_Table[[#This Row],[Amount]]*G27</f>
        <v>2951.3999999999996</v>
      </c>
      <c r="J27" s="28"/>
      <c r="L27" s="28"/>
    </row>
    <row r="28" spans="2:12" ht="24" customHeight="1" x14ac:dyDescent="0.15">
      <c r="B28" s="32" t="s">
        <v>55</v>
      </c>
      <c r="C28" s="32">
        <v>12</v>
      </c>
      <c r="D28" s="33" t="s">
        <v>56</v>
      </c>
      <c r="E28" s="34" t="s">
        <v>40</v>
      </c>
      <c r="F28" s="35" t="s">
        <v>40</v>
      </c>
      <c r="G28" s="36">
        <v>21.395074710419991</v>
      </c>
      <c r="H28" s="36">
        <f>Inventory_List_Table[[#This Row],[Amount]]*G28</f>
        <v>256.74089652503989</v>
      </c>
      <c r="L28" s="28"/>
    </row>
    <row r="29" spans="2:12" ht="24" customHeight="1" x14ac:dyDescent="0.15">
      <c r="B29" s="32" t="s">
        <v>57</v>
      </c>
      <c r="C29" s="32">
        <v>24</v>
      </c>
      <c r="D29" s="33" t="s">
        <v>82</v>
      </c>
      <c r="E29" s="34" t="s">
        <v>32</v>
      </c>
      <c r="F29" s="35" t="s">
        <v>40</v>
      </c>
      <c r="G29" s="36">
        <v>21.395074710419991</v>
      </c>
      <c r="H29" s="36">
        <f>Inventory_List_Table[[#This Row],[Amount]]*G29</f>
        <v>513.48179305007977</v>
      </c>
    </row>
    <row r="30" spans="2:12" ht="24" customHeight="1" x14ac:dyDescent="0.15">
      <c r="B30" s="32" t="s">
        <v>58</v>
      </c>
      <c r="C30" s="32">
        <v>24</v>
      </c>
      <c r="D30" s="33" t="s">
        <v>83</v>
      </c>
      <c r="E30" s="34" t="s">
        <v>32</v>
      </c>
      <c r="F30" s="35" t="s">
        <v>40</v>
      </c>
      <c r="G30" s="36">
        <v>10.697537355209995</v>
      </c>
      <c r="H30" s="36">
        <f>Inventory_List_Table[[#This Row],[Amount]]*G30</f>
        <v>256.74089652503989</v>
      </c>
    </row>
    <row r="31" spans="2:12" ht="24" customHeight="1" x14ac:dyDescent="0.15">
      <c r="B31" s="32" t="s">
        <v>59</v>
      </c>
      <c r="C31" s="32">
        <v>12</v>
      </c>
      <c r="D31" s="33" t="s">
        <v>60</v>
      </c>
      <c r="E31" s="34" t="s">
        <v>40</v>
      </c>
      <c r="F31" s="35" t="s">
        <v>40</v>
      </c>
      <c r="G31" s="36">
        <v>41.078543444006385</v>
      </c>
      <c r="H31" s="36">
        <f>Inventory_List_Table[[#This Row],[Amount]]*G31</f>
        <v>492.94252132807662</v>
      </c>
    </row>
    <row r="32" spans="2:12" ht="24" customHeight="1" x14ac:dyDescent="0.15">
      <c r="B32" s="37" t="s">
        <v>97</v>
      </c>
      <c r="C32" s="37"/>
      <c r="D32" s="38"/>
      <c r="E32" s="39"/>
      <c r="F32" s="40"/>
      <c r="G32" s="41"/>
      <c r="H32" s="36"/>
    </row>
    <row r="33" spans="2:12" ht="24" customHeight="1" x14ac:dyDescent="0.15">
      <c r="B33" s="32" t="s">
        <v>61</v>
      </c>
      <c r="C33" s="32">
        <v>80</v>
      </c>
      <c r="D33" s="33" t="s">
        <v>83</v>
      </c>
      <c r="E33" s="34" t="s">
        <v>32</v>
      </c>
      <c r="F33" s="35" t="s">
        <v>40</v>
      </c>
      <c r="G33" s="36">
        <v>1.0697537355209996</v>
      </c>
      <c r="H33" s="36">
        <f>Inventory_List_Table[[#This Row],[Amount]]*G33</f>
        <v>85.580298841679962</v>
      </c>
    </row>
    <row r="34" spans="2:12" ht="24" customHeight="1" x14ac:dyDescent="0.15">
      <c r="B34" s="32" t="s">
        <v>62</v>
      </c>
      <c r="C34" s="32">
        <v>12</v>
      </c>
      <c r="D34" s="33" t="s">
        <v>84</v>
      </c>
      <c r="E34" s="34" t="s">
        <v>32</v>
      </c>
      <c r="F34" s="35" t="s">
        <v>40</v>
      </c>
      <c r="G34" s="36">
        <v>4.2790149420839985</v>
      </c>
      <c r="H34" s="36">
        <f>Inventory_List_Table[[#This Row],[Amount]]*G34</f>
        <v>51.348179305007982</v>
      </c>
    </row>
    <row r="35" spans="2:12" ht="24" customHeight="1" x14ac:dyDescent="0.15">
      <c r="B35" s="32" t="s">
        <v>63</v>
      </c>
      <c r="C35" s="32">
        <v>12</v>
      </c>
      <c r="D35" s="33" t="s">
        <v>83</v>
      </c>
      <c r="E35" s="34" t="s">
        <v>64</v>
      </c>
      <c r="F35" s="35" t="s">
        <v>40</v>
      </c>
      <c r="G35" s="36">
        <v>12.837044826251995</v>
      </c>
      <c r="H35" s="36">
        <f>Inventory_List_Table[[#This Row],[Amount]]*G35</f>
        <v>154.04453791502394</v>
      </c>
    </row>
    <row r="36" spans="2:12" ht="24" customHeight="1" x14ac:dyDescent="0.15">
      <c r="B36" s="9" t="s">
        <v>65</v>
      </c>
      <c r="D36" s="16"/>
      <c r="E36" s="10"/>
      <c r="F36" s="11"/>
      <c r="G36" s="6"/>
      <c r="H36" s="36"/>
    </row>
    <row r="37" spans="2:12" ht="24" customHeight="1" x14ac:dyDescent="0.15">
      <c r="B37" s="1" t="s">
        <v>66</v>
      </c>
      <c r="C37" s="1">
        <v>4</v>
      </c>
      <c r="D37" s="16" t="s">
        <v>67</v>
      </c>
      <c r="E37" s="10" t="s">
        <v>39</v>
      </c>
      <c r="F37" s="11" t="s">
        <v>68</v>
      </c>
      <c r="G37" s="6">
        <v>2</v>
      </c>
      <c r="H37" s="36">
        <f>Inventory_List_Table[[#This Row],[Amount]]*G37</f>
        <v>8</v>
      </c>
    </row>
    <row r="38" spans="2:12" ht="24" customHeight="1" x14ac:dyDescent="0.15">
      <c r="B38" s="1" t="s">
        <v>69</v>
      </c>
      <c r="C38" s="1">
        <v>4</v>
      </c>
      <c r="D38" s="16" t="s">
        <v>67</v>
      </c>
      <c r="E38" s="10" t="s">
        <v>39</v>
      </c>
      <c r="F38" s="11" t="s">
        <v>68</v>
      </c>
      <c r="G38" s="6">
        <v>3</v>
      </c>
      <c r="H38" s="36">
        <f>Inventory_List_Table[[#This Row],[Amount]]*G38</f>
        <v>12</v>
      </c>
    </row>
    <row r="39" spans="2:12" ht="24" customHeight="1" x14ac:dyDescent="0.15">
      <c r="B39" s="1" t="s">
        <v>70</v>
      </c>
      <c r="C39" s="1">
        <v>1</v>
      </c>
      <c r="D39" s="16" t="s">
        <v>85</v>
      </c>
      <c r="E39" s="10" t="s">
        <v>39</v>
      </c>
      <c r="F39" s="11" t="s">
        <v>68</v>
      </c>
      <c r="G39" s="6">
        <v>120</v>
      </c>
      <c r="H39" s="36">
        <f>Inventory_List_Table[[#This Row],[Amount]]*G39</f>
        <v>120</v>
      </c>
    </row>
    <row r="40" spans="2:12" ht="24" customHeight="1" x14ac:dyDescent="0.15">
      <c r="B40" s="9" t="s">
        <v>71</v>
      </c>
      <c r="D40" s="16"/>
      <c r="E40" s="10"/>
      <c r="F40" s="11"/>
      <c r="G40" s="6"/>
      <c r="H40" s="36"/>
    </row>
    <row r="41" spans="2:12" ht="24" customHeight="1" x14ac:dyDescent="0.15">
      <c r="B41" s="1" t="s">
        <v>72</v>
      </c>
      <c r="C41" s="1">
        <v>2</v>
      </c>
      <c r="D41" s="16" t="s">
        <v>86</v>
      </c>
      <c r="E41" s="10" t="s">
        <v>32</v>
      </c>
      <c r="F41" s="11" t="s">
        <v>89</v>
      </c>
      <c r="G41" s="6">
        <v>100</v>
      </c>
      <c r="H41" s="36">
        <f>Inventory_List_Table[[#This Row],[Amount]]*G41</f>
        <v>200</v>
      </c>
    </row>
    <row r="42" spans="2:12" ht="24" customHeight="1" x14ac:dyDescent="0.15">
      <c r="B42" s="1" t="s">
        <v>73</v>
      </c>
      <c r="C42" s="1">
        <v>2</v>
      </c>
      <c r="D42" s="16" t="s">
        <v>86</v>
      </c>
      <c r="E42" s="10" t="s">
        <v>32</v>
      </c>
      <c r="F42" s="11" t="s">
        <v>90</v>
      </c>
      <c r="G42" s="6">
        <v>36</v>
      </c>
      <c r="H42" s="36">
        <f>Inventory_List_Table[[#This Row],[Amount]]*G42</f>
        <v>72</v>
      </c>
    </row>
    <row r="43" spans="2:12" ht="24" customHeight="1" x14ac:dyDescent="0.15">
      <c r="B43" s="1" t="s">
        <v>74</v>
      </c>
      <c r="C43" s="1">
        <v>8</v>
      </c>
      <c r="D43" s="16" t="s">
        <v>86</v>
      </c>
      <c r="E43" s="10" t="s">
        <v>32</v>
      </c>
      <c r="F43" s="11" t="s">
        <v>91</v>
      </c>
      <c r="G43" s="6">
        <v>32</v>
      </c>
      <c r="H43" s="36">
        <f>Inventory_List_Table[[#This Row],[Amount]]*G43</f>
        <v>256</v>
      </c>
    </row>
    <row r="44" spans="2:12" ht="24" customHeight="1" x14ac:dyDescent="0.15">
      <c r="B44" s="1" t="s">
        <v>75</v>
      </c>
      <c r="C44" s="1">
        <v>2</v>
      </c>
      <c r="D44" s="16" t="s">
        <v>86</v>
      </c>
      <c r="E44" s="10" t="s">
        <v>32</v>
      </c>
      <c r="F44" s="11" t="s">
        <v>91</v>
      </c>
      <c r="G44" s="6">
        <v>68</v>
      </c>
      <c r="H44" s="36">
        <f>Inventory_List_Table[[#This Row],[Amount]]*G44</f>
        <v>136</v>
      </c>
    </row>
    <row r="45" spans="2:12" ht="24" customHeight="1" x14ac:dyDescent="0.15">
      <c r="B45" s="1" t="s">
        <v>76</v>
      </c>
      <c r="C45" s="1">
        <v>12</v>
      </c>
      <c r="D45" s="16" t="s">
        <v>88</v>
      </c>
      <c r="E45" s="10" t="s">
        <v>92</v>
      </c>
      <c r="F45" s="11" t="s">
        <v>92</v>
      </c>
      <c r="G45" s="6">
        <v>3123.7</v>
      </c>
      <c r="H45" s="36">
        <f>Inventory_List_Table[[#This Row],[Amount]]*G45</f>
        <v>37484.399999999994</v>
      </c>
    </row>
    <row r="46" spans="2:12" ht="24" customHeight="1" thickBot="1" x14ac:dyDescent="0.2">
      <c r="B46" s="12" t="s">
        <v>77</v>
      </c>
      <c r="C46" s="12">
        <v>8</v>
      </c>
      <c r="D46" s="17" t="s">
        <v>87</v>
      </c>
      <c r="E46" s="13" t="s">
        <v>32</v>
      </c>
      <c r="F46" s="14" t="s">
        <v>90</v>
      </c>
      <c r="G46" s="15">
        <v>40</v>
      </c>
      <c r="H46" s="36">
        <f>Inventory_List_Table[[#This Row],[Amount]]*G46</f>
        <v>320</v>
      </c>
    </row>
    <row r="47" spans="2:12" ht="24" customHeight="1" thickTop="1" x14ac:dyDescent="0.15">
      <c r="D47" s="18"/>
      <c r="E47" s="7"/>
      <c r="F47" s="4"/>
      <c r="G47" s="6" t="s">
        <v>6</v>
      </c>
      <c r="H47" s="8">
        <f>H49-H48</f>
        <v>121420.21318409043</v>
      </c>
      <c r="J47" s="28"/>
      <c r="K47" s="28"/>
      <c r="L47" s="28"/>
    </row>
    <row r="48" spans="2:12" ht="24" customHeight="1" x14ac:dyDescent="0.15">
      <c r="B48" s="19"/>
      <c r="E48" s="7"/>
      <c r="F48" s="4"/>
      <c r="G48" s="6" t="s">
        <v>81</v>
      </c>
      <c r="H48" s="22">
        <f>H49/108.1*8.1</f>
        <v>9835.0372679113243</v>
      </c>
    </row>
    <row r="49" spans="5:10" ht="24" customHeight="1" x14ac:dyDescent="0.15">
      <c r="E49" s="7"/>
      <c r="F49" s="4"/>
      <c r="G49" s="6" t="s">
        <v>78</v>
      </c>
      <c r="H49" s="8">
        <f>SUM(H2:H46)</f>
        <v>131255.25045200175</v>
      </c>
      <c r="J49" s="28"/>
    </row>
  </sheetData>
  <conditionalFormatting sqref="B47:G47 C48:G48 B49:H49 B2:H46">
    <cfRule type="expression" dxfId="4" priority="8">
      <formula>#REF!="Yes"</formula>
    </cfRule>
    <cfRule type="expression" dxfId="3" priority="9">
      <formula>$B2=1</formula>
    </cfRule>
  </conditionalFormatting>
  <conditionalFormatting sqref="H47">
    <cfRule type="expression" dxfId="2" priority="23">
      <formula>$B48=1</formula>
    </cfRule>
  </conditionalFormatting>
  <conditionalFormatting sqref="H47:H48">
    <cfRule type="expression" dxfId="1" priority="18">
      <formula>#REF!="Yes"</formula>
    </cfRule>
  </conditionalFormatting>
  <conditionalFormatting sqref="H48">
    <cfRule type="expression" dxfId="0" priority="19">
      <formula>$B47=1</formula>
    </cfRule>
  </conditionalFormatting>
  <dataValidations xWindow="67" yWindow="628" count="6"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B1" xr:uid="{00000000-0002-0000-0000-000000000000}"/>
    <dataValidation allowBlank="1" showInputMessage="1" showErrorMessage="1" prompt="Enter the item inventory ID in this column" sqref="C1" xr:uid="{00000000-0002-0000-0000-000001000000}"/>
    <dataValidation allowBlank="1" showInputMessage="1" showErrorMessage="1" prompt="Enter the number of days it takes to reorder each item in this column" sqref="G1:H1" xr:uid="{00000000-0002-0000-0000-000003000000}"/>
    <dataValidation allowBlank="1" showInputMessage="1" showErrorMessage="1" prompt="This is an automated column._x000a__x000a_The inventory value for each item is automatically calculated in this column." sqref="F1" xr:uid="{00000000-0002-0000-0000-000004000000}"/>
    <dataValidation allowBlank="1" showInputMessage="1" showErrorMessage="1" prompt="Enter the unit price of each item in this column" sqref="E1" xr:uid="{00000000-0002-0000-0000-000005000000}"/>
    <dataValidation allowBlank="1" showInputMessage="1" showErrorMessage="1" prompt="Enter a description of the item in this column" sqref="D1" xr:uid="{00000000-0002-0000-0000-000006000000}"/>
  </dataValidations>
  <hyperlinks>
    <hyperlink ref="F12" r:id="rId1" xr:uid="{00000000-0004-0000-0000-000000000000}"/>
  </hyperlinks>
  <pageMargins left="0.25" right="0.25" top="0.75" bottom="0.75" header="0.3" footer="0.3"/>
  <pageSetup scale="58" fitToHeight="0" orientation="portrait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B49 B2:B47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3298A-223B-42B2-9FEF-AB506EA6B5F6}">
  <ds:schemaRefs>
    <ds:schemaRef ds:uri="http://schemas.microsoft.com/office/2006/documentManagement/types"/>
    <ds:schemaRef ds:uri="fb0879af-3eba-417a-a55a-ffe6dcd6ca77"/>
    <ds:schemaRef ds:uri="http://purl.org/dc/elements/1.1/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6dc4bcd6-49db-4c07-9060-8acfc67cef9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List</vt:lpstr>
      <vt:lpstr>'Inventory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2026-04-30T03:55:24Z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